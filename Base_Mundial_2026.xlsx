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pipe/Desktop/"/>
    </mc:Choice>
  </mc:AlternateContent>
  <xr:revisionPtr revIDLastSave="0" documentId="8_{B3AD4D91-0123-6342-8166-32F84924E84B}" xr6:coauthVersionLast="47" xr6:coauthVersionMax="47" xr10:uidLastSave="{00000000-0000-0000-0000-000000000000}"/>
  <bookViews>
    <workbookView xWindow="0" yWindow="760" windowWidth="19420" windowHeight="11500" xr2:uid="{00000000-000D-0000-FFFF-FFFF00000000}"/>
  </bookViews>
  <sheets>
    <sheet name="Mundial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9" i="1" l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<sst xmlns="http://schemas.openxmlformats.org/spreadsheetml/2006/main" count="163" uniqueCount="81">
  <si>
    <t>Pais</t>
  </si>
  <si>
    <t>Ranking FIFA</t>
  </si>
  <si>
    <t>Puntos FIFA</t>
  </si>
  <si>
    <t>Confederacion</t>
  </si>
  <si>
    <t>Participaciones Mundiales</t>
  </si>
  <si>
    <t>Titulos Mundiales</t>
  </si>
  <si>
    <t>Valor Plantel (M€)</t>
  </si>
  <si>
    <t>Edad Promedio</t>
  </si>
  <si>
    <t>Victorias Ultimos10</t>
  </si>
  <si>
    <t>Empates Ultimos10</t>
  </si>
  <si>
    <t>Derrotas Ultimos10</t>
  </si>
  <si>
    <t>Goles Favor x Partido</t>
  </si>
  <si>
    <t>Goles Contra x Partido</t>
  </si>
  <si>
    <t>Elo Rating</t>
  </si>
  <si>
    <t>Francia</t>
  </si>
  <si>
    <t>UEFA</t>
  </si>
  <si>
    <t>Campeón</t>
  </si>
  <si>
    <t>España</t>
  </si>
  <si>
    <t>Argentina</t>
  </si>
  <si>
    <t>CONMEBOL</t>
  </si>
  <si>
    <t>Inglaterra</t>
  </si>
  <si>
    <t>Portugal</t>
  </si>
  <si>
    <t>Tercer lugar</t>
  </si>
  <si>
    <t>Brasil</t>
  </si>
  <si>
    <t>Países Bajos</t>
  </si>
  <si>
    <t>Subcampeón</t>
  </si>
  <si>
    <t>Marruecos</t>
  </si>
  <si>
    <t>CAF</t>
  </si>
  <si>
    <t>Cuarto lugar</t>
  </si>
  <si>
    <t>Bélgica</t>
  </si>
  <si>
    <t>Alemania</t>
  </si>
  <si>
    <t>Croacia</t>
  </si>
  <si>
    <t>Colombia</t>
  </si>
  <si>
    <t>Cuartos de final</t>
  </si>
  <si>
    <t>Senegal</t>
  </si>
  <si>
    <t>México</t>
  </si>
  <si>
    <t>CONCACAF</t>
  </si>
  <si>
    <t>Estados Unidos</t>
  </si>
  <si>
    <t>Uruguay</t>
  </si>
  <si>
    <t>Japón</t>
  </si>
  <si>
    <t>AFC</t>
  </si>
  <si>
    <t>Octavos de final</t>
  </si>
  <si>
    <t>Suiza</t>
  </si>
  <si>
    <t>Irán</t>
  </si>
  <si>
    <t>Fase de grupos</t>
  </si>
  <si>
    <t>Turquía</t>
  </si>
  <si>
    <t>Ecuador</t>
  </si>
  <si>
    <t>Austria</t>
  </si>
  <si>
    <t>Corea del Sur</t>
  </si>
  <si>
    <t>Australia</t>
  </si>
  <si>
    <t>Argelia</t>
  </si>
  <si>
    <t>Egipto</t>
  </si>
  <si>
    <t>Canadá</t>
  </si>
  <si>
    <t>Noruega</t>
  </si>
  <si>
    <t>Panamá</t>
  </si>
  <si>
    <t>Costa de Marfil</t>
  </si>
  <si>
    <t>Suecia</t>
  </si>
  <si>
    <t>Paraguay</t>
  </si>
  <si>
    <t>República Checa</t>
  </si>
  <si>
    <t>Escocia</t>
  </si>
  <si>
    <t>Túnez</t>
  </si>
  <si>
    <t>RD Congo</t>
  </si>
  <si>
    <t>Uzbekistán</t>
  </si>
  <si>
    <t>Debutante</t>
  </si>
  <si>
    <t>Qatar</t>
  </si>
  <si>
    <t>Irak</t>
  </si>
  <si>
    <t>Sudáfrica</t>
  </si>
  <si>
    <t>Arabia Saudita</t>
  </si>
  <si>
    <t>Jordania</t>
  </si>
  <si>
    <t>Bosnia y Herzegovina</t>
  </si>
  <si>
    <t>Ghana</t>
  </si>
  <si>
    <t>Cabo Verde</t>
  </si>
  <si>
    <t>Curazao</t>
  </si>
  <si>
    <t>Haití</t>
  </si>
  <si>
    <t>Nueva Zelanda</t>
  </si>
  <si>
    <t>OFC</t>
  </si>
  <si>
    <t>Campeon_Historico</t>
  </si>
  <si>
    <t>Finalista_Historico</t>
  </si>
  <si>
    <t>Potencia_Mundial</t>
  </si>
  <si>
    <t>Mejor Posición</t>
  </si>
  <si>
    <t>Mejor_Resultado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</si>
</sst>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9"/>
  <sheetViews>
    <sheetView tabSelected="1" topLeftCell="M1" workbookViewId="0">
      <selection activeCell="B2" sqref="B2"/>
    </sheetView>
  </sheetViews>
  <sheetFormatPr baseColWidth="10" defaultColWidth="8.6640625" defaultRowHeight="15" x14ac:dyDescent="0.2"/>
  <cols>
    <col min="1" max="1" width="18.5" bestFit="1" customWidth="1"/>
    <col min="2" max="4" width="18.5" customWidth="1"/>
    <col min="5" max="5" width="11.33203125" bestFit="1" customWidth="1"/>
    <col min="6" max="6" width="10.5" bestFit="1" customWidth="1"/>
    <col min="7" max="7" width="13" bestFit="1" customWidth="1"/>
    <col min="8" max="8" width="22.6640625" bestFit="1" customWidth="1"/>
    <col min="9" max="9" width="15.5" bestFit="1" customWidth="1"/>
    <col min="10" max="10" width="14.5" bestFit="1" customWidth="1"/>
    <col min="11" max="11" width="14.5" customWidth="1"/>
    <col min="12" max="12" width="15.6640625" bestFit="1" customWidth="1"/>
    <col min="13" max="13" width="13.5" bestFit="1" customWidth="1"/>
    <col min="14" max="15" width="16.83203125" bestFit="1" customWidth="1"/>
    <col min="16" max="16" width="17" bestFit="1" customWidth="1"/>
    <col min="17" max="17" width="18.5" bestFit="1" customWidth="1"/>
    <col min="18" max="18" width="19.5" bestFit="1" customWidth="1"/>
    <col min="19" max="19" width="9" bestFit="1" customWidth="1"/>
  </cols>
  <sheetData>
    <row r="1" spans="1:19" x14ac:dyDescent="0.2">
      <c r="A1" t="s">
        <v>0</v>
      </c>
      <c r="B1" s="1" t="s">
        <v>76</v>
      </c>
      <c r="C1" s="1" t="s">
        <v>77</v>
      </c>
      <c r="D1" s="1" t="s">
        <v>78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t="s">
        <v>79</v>
      </c>
      <c r="K1" s="1" t="s">
        <v>80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</row>
    <row r="2" spans="1:19" x14ac:dyDescent="0.2">
      <c r="A2" t="s">
        <v>14</v>
      </c>
      <c r="B2">
        <f>IF(I2=0,0,1)</f>
        <v>1</v>
      </c>
      <c r="C2">
        <v>1</v>
      </c>
      <c r="D2">
        <v>1</v>
      </c>
      <c r="E2">
        <v>1</v>
      </c>
      <c r="F2">
        <v>1877.32</v>
      </c>
      <c r="G2" t="s">
        <v>15</v>
      </c>
      <c r="H2">
        <v>16</v>
      </c>
      <c r="I2">
        <v>2</v>
      </c>
      <c r="J2" t="s">
        <v>16</v>
      </c>
      <c r="K2">
        <v>5</v>
      </c>
      <c r="L2">
        <v>1250</v>
      </c>
      <c r="M2">
        <v>27.5</v>
      </c>
      <c r="N2">
        <v>8</v>
      </c>
      <c r="O2">
        <v>1</v>
      </c>
      <c r="P2">
        <v>1</v>
      </c>
      <c r="Q2">
        <v>2.4</v>
      </c>
      <c r="R2">
        <v>0.7</v>
      </c>
      <c r="S2">
        <v>2050</v>
      </c>
    </row>
    <row r="3" spans="1:19" x14ac:dyDescent="0.2">
      <c r="A3" t="s">
        <v>17</v>
      </c>
      <c r="B3">
        <f t="shared" ref="B3:B49" si="0">IF(I3=0,0,1)</f>
        <v>1</v>
      </c>
      <c r="C3">
        <v>1</v>
      </c>
      <c r="D3">
        <v>1</v>
      </c>
      <c r="E3">
        <v>2</v>
      </c>
      <c r="F3">
        <v>1876.4</v>
      </c>
      <c r="G3" t="s">
        <v>15</v>
      </c>
      <c r="H3">
        <v>16</v>
      </c>
      <c r="I3">
        <v>1</v>
      </c>
      <c r="J3" t="s">
        <v>16</v>
      </c>
      <c r="K3">
        <v>5</v>
      </c>
      <c r="L3">
        <v>1200</v>
      </c>
      <c r="M3">
        <v>26.2</v>
      </c>
      <c r="N3">
        <v>8</v>
      </c>
      <c r="O3">
        <v>2</v>
      </c>
      <c r="P3">
        <v>0</v>
      </c>
      <c r="Q3">
        <v>2.5</v>
      </c>
      <c r="R3">
        <v>0.6</v>
      </c>
      <c r="S3">
        <v>2035</v>
      </c>
    </row>
    <row r="4" spans="1:19" x14ac:dyDescent="0.2">
      <c r="A4" t="s">
        <v>18</v>
      </c>
      <c r="B4">
        <f t="shared" si="0"/>
        <v>1</v>
      </c>
      <c r="C4">
        <v>1</v>
      </c>
      <c r="D4">
        <v>1</v>
      </c>
      <c r="E4">
        <v>3</v>
      </c>
      <c r="F4">
        <v>1874.81</v>
      </c>
      <c r="G4" t="s">
        <v>19</v>
      </c>
      <c r="H4">
        <v>19</v>
      </c>
      <c r="I4">
        <v>3</v>
      </c>
      <c r="J4" t="s">
        <v>16</v>
      </c>
      <c r="K4">
        <v>5</v>
      </c>
      <c r="L4">
        <v>950</v>
      </c>
      <c r="M4">
        <v>28.4</v>
      </c>
      <c r="N4">
        <v>7</v>
      </c>
      <c r="O4">
        <v>2</v>
      </c>
      <c r="P4">
        <v>1</v>
      </c>
      <c r="Q4">
        <v>2.1</v>
      </c>
      <c r="R4">
        <v>0.8</v>
      </c>
      <c r="S4">
        <v>2025</v>
      </c>
    </row>
    <row r="5" spans="1:19" x14ac:dyDescent="0.2">
      <c r="A5" t="s">
        <v>20</v>
      </c>
      <c r="B5">
        <f t="shared" si="0"/>
        <v>1</v>
      </c>
      <c r="C5">
        <v>1</v>
      </c>
      <c r="D5">
        <v>1</v>
      </c>
      <c r="E5">
        <v>4</v>
      </c>
      <c r="F5">
        <v>1825.97</v>
      </c>
      <c r="G5" t="s">
        <v>15</v>
      </c>
      <c r="H5">
        <v>16</v>
      </c>
      <c r="I5">
        <v>1</v>
      </c>
      <c r="J5" t="s">
        <v>16</v>
      </c>
      <c r="K5">
        <v>5</v>
      </c>
      <c r="L5">
        <v>1500</v>
      </c>
      <c r="M5">
        <v>26</v>
      </c>
      <c r="N5">
        <v>7</v>
      </c>
      <c r="O5">
        <v>2</v>
      </c>
      <c r="P5">
        <v>1</v>
      </c>
      <c r="Q5">
        <v>2.2000000000000002</v>
      </c>
      <c r="R5">
        <v>0.8</v>
      </c>
      <c r="S5">
        <v>2015</v>
      </c>
    </row>
    <row r="6" spans="1:19" x14ac:dyDescent="0.2">
      <c r="A6" t="s">
        <v>21</v>
      </c>
      <c r="B6">
        <f t="shared" si="0"/>
        <v>0</v>
      </c>
      <c r="C6">
        <v>0</v>
      </c>
      <c r="D6">
        <v>0</v>
      </c>
      <c r="E6">
        <v>5</v>
      </c>
      <c r="F6">
        <v>1763.83</v>
      </c>
      <c r="G6" t="s">
        <v>15</v>
      </c>
      <c r="H6">
        <v>8</v>
      </c>
      <c r="I6">
        <v>0</v>
      </c>
      <c r="J6" t="s">
        <v>22</v>
      </c>
      <c r="K6">
        <v>3</v>
      </c>
      <c r="L6">
        <v>1050</v>
      </c>
      <c r="M6">
        <v>27.8</v>
      </c>
      <c r="N6">
        <v>7</v>
      </c>
      <c r="O6">
        <v>1</v>
      </c>
      <c r="P6">
        <v>2</v>
      </c>
      <c r="Q6">
        <v>2</v>
      </c>
      <c r="R6">
        <v>0.9</v>
      </c>
      <c r="S6">
        <v>1985</v>
      </c>
    </row>
    <row r="7" spans="1:19" x14ac:dyDescent="0.2">
      <c r="A7" t="s">
        <v>23</v>
      </c>
      <c r="B7">
        <f t="shared" si="0"/>
        <v>1</v>
      </c>
      <c r="C7">
        <v>1</v>
      </c>
      <c r="D7">
        <v>1</v>
      </c>
      <c r="E7">
        <v>6</v>
      </c>
      <c r="F7">
        <v>1761.16</v>
      </c>
      <c r="G7" t="s">
        <v>19</v>
      </c>
      <c r="H7">
        <v>23</v>
      </c>
      <c r="I7">
        <v>5</v>
      </c>
      <c r="J7" t="s">
        <v>16</v>
      </c>
      <c r="K7">
        <v>5</v>
      </c>
      <c r="L7">
        <v>1100</v>
      </c>
      <c r="M7">
        <v>26.3</v>
      </c>
      <c r="N7">
        <v>6</v>
      </c>
      <c r="O7">
        <v>2</v>
      </c>
      <c r="P7">
        <v>2</v>
      </c>
      <c r="Q7">
        <v>2.1</v>
      </c>
      <c r="R7">
        <v>1</v>
      </c>
      <c r="S7">
        <v>2005</v>
      </c>
    </row>
    <row r="8" spans="1:19" x14ac:dyDescent="0.2">
      <c r="A8" t="s">
        <v>24</v>
      </c>
      <c r="B8">
        <f t="shared" si="0"/>
        <v>0</v>
      </c>
      <c r="C8">
        <v>1</v>
      </c>
      <c r="D8">
        <v>1</v>
      </c>
      <c r="E8">
        <v>7</v>
      </c>
      <c r="F8">
        <v>1757.87</v>
      </c>
      <c r="G8" t="s">
        <v>15</v>
      </c>
      <c r="H8">
        <v>12</v>
      </c>
      <c r="I8">
        <v>0</v>
      </c>
      <c r="J8" t="s">
        <v>25</v>
      </c>
      <c r="K8">
        <v>4</v>
      </c>
      <c r="L8">
        <v>850</v>
      </c>
      <c r="M8">
        <v>26.8</v>
      </c>
      <c r="N8">
        <v>7</v>
      </c>
      <c r="O8">
        <v>2</v>
      </c>
      <c r="P8">
        <v>1</v>
      </c>
      <c r="Q8">
        <v>2</v>
      </c>
      <c r="R8">
        <v>0.8</v>
      </c>
      <c r="S8">
        <v>1965</v>
      </c>
    </row>
    <row r="9" spans="1:19" x14ac:dyDescent="0.2">
      <c r="A9" t="s">
        <v>26</v>
      </c>
      <c r="B9">
        <f t="shared" si="0"/>
        <v>0</v>
      </c>
      <c r="C9">
        <v>0</v>
      </c>
      <c r="D9">
        <v>0</v>
      </c>
      <c r="E9">
        <v>8</v>
      </c>
      <c r="F9">
        <v>1755.87</v>
      </c>
      <c r="G9" t="s">
        <v>27</v>
      </c>
      <c r="H9">
        <v>7</v>
      </c>
      <c r="I9">
        <v>0</v>
      </c>
      <c r="J9" t="s">
        <v>28</v>
      </c>
      <c r="K9">
        <v>3</v>
      </c>
      <c r="L9">
        <v>420</v>
      </c>
      <c r="M9">
        <v>27.2</v>
      </c>
      <c r="N9">
        <v>6</v>
      </c>
      <c r="O9">
        <v>3</v>
      </c>
      <c r="P9">
        <v>1</v>
      </c>
      <c r="Q9">
        <v>1.8</v>
      </c>
      <c r="R9">
        <v>0.7</v>
      </c>
      <c r="S9">
        <v>1880</v>
      </c>
    </row>
    <row r="10" spans="1:19" x14ac:dyDescent="0.2">
      <c r="A10" t="s">
        <v>29</v>
      </c>
      <c r="B10">
        <f t="shared" si="0"/>
        <v>0</v>
      </c>
      <c r="C10">
        <v>0</v>
      </c>
      <c r="D10">
        <v>0</v>
      </c>
      <c r="E10">
        <v>9</v>
      </c>
      <c r="F10">
        <v>1734.71</v>
      </c>
      <c r="G10" t="s">
        <v>15</v>
      </c>
      <c r="H10">
        <v>14</v>
      </c>
      <c r="I10">
        <v>0</v>
      </c>
      <c r="J10" t="s">
        <v>22</v>
      </c>
      <c r="K10">
        <v>3</v>
      </c>
      <c r="L10">
        <v>520</v>
      </c>
      <c r="M10">
        <v>28.8</v>
      </c>
      <c r="N10">
        <v>6</v>
      </c>
      <c r="O10">
        <v>2</v>
      </c>
      <c r="P10">
        <v>2</v>
      </c>
      <c r="Q10">
        <v>1.9</v>
      </c>
      <c r="R10">
        <v>1</v>
      </c>
      <c r="S10">
        <v>1900</v>
      </c>
    </row>
    <row r="11" spans="1:19" x14ac:dyDescent="0.2">
      <c r="A11" t="s">
        <v>30</v>
      </c>
      <c r="B11">
        <f t="shared" si="0"/>
        <v>1</v>
      </c>
      <c r="C11">
        <v>1</v>
      </c>
      <c r="D11">
        <v>1</v>
      </c>
      <c r="E11">
        <v>10</v>
      </c>
      <c r="F11">
        <v>1730.37</v>
      </c>
      <c r="G11" t="s">
        <v>15</v>
      </c>
      <c r="H11">
        <v>20</v>
      </c>
      <c r="I11">
        <v>4</v>
      </c>
      <c r="J11" t="s">
        <v>16</v>
      </c>
      <c r="K11">
        <v>5</v>
      </c>
      <c r="L11">
        <v>900</v>
      </c>
      <c r="M11">
        <v>26.5</v>
      </c>
      <c r="N11">
        <v>7</v>
      </c>
      <c r="O11">
        <v>1</v>
      </c>
      <c r="P11">
        <v>2</v>
      </c>
      <c r="Q11">
        <v>2.2000000000000002</v>
      </c>
      <c r="R11">
        <v>1</v>
      </c>
      <c r="S11">
        <v>1955</v>
      </c>
    </row>
    <row r="12" spans="1:19" x14ac:dyDescent="0.2">
      <c r="A12" t="s">
        <v>31</v>
      </c>
      <c r="B12">
        <f t="shared" si="0"/>
        <v>0</v>
      </c>
      <c r="C12">
        <v>1</v>
      </c>
      <c r="D12">
        <v>1</v>
      </c>
      <c r="E12">
        <v>11</v>
      </c>
      <c r="F12">
        <v>1717.07</v>
      </c>
      <c r="G12" t="s">
        <v>15</v>
      </c>
      <c r="H12">
        <v>6</v>
      </c>
      <c r="I12">
        <v>0</v>
      </c>
      <c r="J12" t="s">
        <v>25</v>
      </c>
      <c r="K12">
        <v>4</v>
      </c>
      <c r="L12">
        <v>320</v>
      </c>
      <c r="M12">
        <v>28.9</v>
      </c>
      <c r="N12">
        <v>5</v>
      </c>
      <c r="O12">
        <v>3</v>
      </c>
      <c r="P12">
        <v>2</v>
      </c>
      <c r="Q12">
        <v>1.6</v>
      </c>
      <c r="R12">
        <v>0.9</v>
      </c>
      <c r="S12">
        <v>1860</v>
      </c>
    </row>
    <row r="13" spans="1:19" x14ac:dyDescent="0.2">
      <c r="A13" t="s">
        <v>32</v>
      </c>
      <c r="B13">
        <f t="shared" si="0"/>
        <v>0</v>
      </c>
      <c r="C13">
        <v>0</v>
      </c>
      <c r="D13">
        <v>0</v>
      </c>
      <c r="E13">
        <v>12</v>
      </c>
      <c r="F13">
        <v>1693.09</v>
      </c>
      <c r="G13" t="s">
        <v>19</v>
      </c>
      <c r="H13">
        <v>7</v>
      </c>
      <c r="I13">
        <v>0</v>
      </c>
      <c r="J13" t="s">
        <v>33</v>
      </c>
      <c r="K13">
        <v>2</v>
      </c>
      <c r="L13">
        <v>340</v>
      </c>
      <c r="M13">
        <v>27.6</v>
      </c>
      <c r="N13">
        <v>6</v>
      </c>
      <c r="O13">
        <v>3</v>
      </c>
      <c r="P13">
        <v>1</v>
      </c>
      <c r="Q13">
        <v>1.8</v>
      </c>
      <c r="R13">
        <v>0.8</v>
      </c>
      <c r="S13">
        <v>1895</v>
      </c>
    </row>
    <row r="14" spans="1:19" x14ac:dyDescent="0.2">
      <c r="A14" t="s">
        <v>34</v>
      </c>
      <c r="B14">
        <f t="shared" si="0"/>
        <v>0</v>
      </c>
      <c r="C14">
        <v>0</v>
      </c>
      <c r="D14">
        <v>0</v>
      </c>
      <c r="E14">
        <v>13</v>
      </c>
      <c r="F14">
        <v>1688.99</v>
      </c>
      <c r="G14" t="s">
        <v>27</v>
      </c>
      <c r="H14">
        <v>3</v>
      </c>
      <c r="I14">
        <v>0</v>
      </c>
      <c r="J14" t="s">
        <v>33</v>
      </c>
      <c r="K14">
        <v>2</v>
      </c>
      <c r="L14">
        <v>290</v>
      </c>
      <c r="M14">
        <v>27.7</v>
      </c>
      <c r="N14">
        <v>6</v>
      </c>
      <c r="O14">
        <v>2</v>
      </c>
      <c r="P14">
        <v>2</v>
      </c>
      <c r="Q14">
        <v>1.7</v>
      </c>
      <c r="R14">
        <v>0.8</v>
      </c>
      <c r="S14">
        <v>1845</v>
      </c>
    </row>
    <row r="15" spans="1:19" x14ac:dyDescent="0.2">
      <c r="A15" t="s">
        <v>35</v>
      </c>
      <c r="B15">
        <f t="shared" si="0"/>
        <v>0</v>
      </c>
      <c r="C15">
        <v>0</v>
      </c>
      <c r="D15">
        <v>0</v>
      </c>
      <c r="E15">
        <v>14</v>
      </c>
      <c r="F15">
        <v>1681.03</v>
      </c>
      <c r="G15" t="s">
        <v>36</v>
      </c>
      <c r="H15">
        <v>18</v>
      </c>
      <c r="I15">
        <v>0</v>
      </c>
      <c r="J15" t="s">
        <v>33</v>
      </c>
      <c r="K15">
        <v>2</v>
      </c>
      <c r="L15">
        <v>240</v>
      </c>
      <c r="M15">
        <v>27.8</v>
      </c>
      <c r="N15">
        <v>5</v>
      </c>
      <c r="O15">
        <v>3</v>
      </c>
      <c r="P15">
        <v>2</v>
      </c>
      <c r="Q15">
        <v>1.6</v>
      </c>
      <c r="R15">
        <v>1</v>
      </c>
      <c r="S15">
        <v>1810</v>
      </c>
    </row>
    <row r="16" spans="1:19" x14ac:dyDescent="0.2">
      <c r="A16" t="s">
        <v>37</v>
      </c>
      <c r="B16">
        <f t="shared" si="0"/>
        <v>0</v>
      </c>
      <c r="C16">
        <v>0</v>
      </c>
      <c r="D16">
        <v>0</v>
      </c>
      <c r="E16">
        <v>15</v>
      </c>
      <c r="F16">
        <v>1673.13</v>
      </c>
      <c r="G16" t="s">
        <v>36</v>
      </c>
      <c r="H16">
        <v>12</v>
      </c>
      <c r="I16">
        <v>0</v>
      </c>
      <c r="J16" t="s">
        <v>22</v>
      </c>
      <c r="K16">
        <v>3</v>
      </c>
      <c r="L16">
        <v>380</v>
      </c>
      <c r="M16">
        <v>25.4</v>
      </c>
      <c r="N16">
        <v>5</v>
      </c>
      <c r="O16">
        <v>2</v>
      </c>
      <c r="P16">
        <v>3</v>
      </c>
      <c r="Q16">
        <v>1.8</v>
      </c>
      <c r="R16">
        <v>1.1000000000000001</v>
      </c>
      <c r="S16">
        <v>1835</v>
      </c>
    </row>
    <row r="17" spans="1:19" x14ac:dyDescent="0.2">
      <c r="A17" t="s">
        <v>38</v>
      </c>
      <c r="B17">
        <f t="shared" si="0"/>
        <v>1</v>
      </c>
      <c r="C17">
        <v>1</v>
      </c>
      <c r="D17">
        <v>1</v>
      </c>
      <c r="E17">
        <v>16</v>
      </c>
      <c r="F17">
        <v>1673.07</v>
      </c>
      <c r="G17" t="s">
        <v>19</v>
      </c>
      <c r="H17">
        <v>14</v>
      </c>
      <c r="I17">
        <v>2</v>
      </c>
      <c r="J17" t="s">
        <v>16</v>
      </c>
      <c r="K17">
        <v>5</v>
      </c>
      <c r="L17">
        <v>500</v>
      </c>
      <c r="M17">
        <v>27.9</v>
      </c>
      <c r="N17">
        <v>6</v>
      </c>
      <c r="O17">
        <v>2</v>
      </c>
      <c r="P17">
        <v>2</v>
      </c>
      <c r="Q17">
        <v>1.9</v>
      </c>
      <c r="R17">
        <v>0.9</v>
      </c>
      <c r="S17">
        <v>1920</v>
      </c>
    </row>
    <row r="18" spans="1:19" x14ac:dyDescent="0.2">
      <c r="A18" t="s">
        <v>39</v>
      </c>
      <c r="B18">
        <f t="shared" si="0"/>
        <v>0</v>
      </c>
      <c r="C18">
        <v>0</v>
      </c>
      <c r="D18">
        <v>0</v>
      </c>
      <c r="E18">
        <v>17</v>
      </c>
      <c r="F18">
        <v>1660.43</v>
      </c>
      <c r="G18" t="s">
        <v>40</v>
      </c>
      <c r="H18">
        <v>8</v>
      </c>
      <c r="I18">
        <v>0</v>
      </c>
      <c r="J18" t="s">
        <v>41</v>
      </c>
      <c r="K18">
        <v>1</v>
      </c>
      <c r="L18">
        <v>320</v>
      </c>
      <c r="M18">
        <v>27.1</v>
      </c>
      <c r="N18">
        <v>7</v>
      </c>
      <c r="O18">
        <v>1</v>
      </c>
      <c r="P18">
        <v>2</v>
      </c>
      <c r="Q18">
        <v>2</v>
      </c>
      <c r="R18">
        <v>0.9</v>
      </c>
      <c r="S18">
        <v>1850</v>
      </c>
    </row>
    <row r="19" spans="1:19" x14ac:dyDescent="0.2">
      <c r="A19" t="s">
        <v>42</v>
      </c>
      <c r="B19">
        <f t="shared" si="0"/>
        <v>0</v>
      </c>
      <c r="C19">
        <v>0</v>
      </c>
      <c r="D19">
        <v>0</v>
      </c>
      <c r="E19">
        <v>18</v>
      </c>
      <c r="F19">
        <v>1649.4</v>
      </c>
      <c r="G19" t="s">
        <v>15</v>
      </c>
      <c r="H19">
        <v>12</v>
      </c>
      <c r="I19">
        <v>0</v>
      </c>
      <c r="J19" t="s">
        <v>33</v>
      </c>
      <c r="K19">
        <v>2</v>
      </c>
      <c r="L19">
        <v>280</v>
      </c>
      <c r="M19">
        <v>27.5</v>
      </c>
      <c r="N19">
        <v>5</v>
      </c>
      <c r="O19">
        <v>3</v>
      </c>
      <c r="P19">
        <v>2</v>
      </c>
      <c r="Q19">
        <v>1.5</v>
      </c>
      <c r="R19">
        <v>0.9</v>
      </c>
      <c r="S19">
        <v>1825</v>
      </c>
    </row>
    <row r="20" spans="1:19" x14ac:dyDescent="0.2">
      <c r="A20" t="s">
        <v>43</v>
      </c>
      <c r="B20">
        <f t="shared" si="0"/>
        <v>0</v>
      </c>
      <c r="C20">
        <v>0</v>
      </c>
      <c r="D20">
        <v>0</v>
      </c>
      <c r="E20">
        <v>19</v>
      </c>
      <c r="F20">
        <v>1615.3</v>
      </c>
      <c r="G20" t="s">
        <v>40</v>
      </c>
      <c r="H20">
        <v>7</v>
      </c>
      <c r="I20">
        <v>0</v>
      </c>
      <c r="J20" t="s">
        <v>44</v>
      </c>
      <c r="K20">
        <v>0</v>
      </c>
      <c r="L20">
        <v>110</v>
      </c>
      <c r="M20">
        <v>28</v>
      </c>
      <c r="N20">
        <v>6</v>
      </c>
      <c r="O20">
        <v>2</v>
      </c>
      <c r="P20">
        <v>2</v>
      </c>
      <c r="Q20">
        <v>1.8</v>
      </c>
      <c r="R20">
        <v>0.9</v>
      </c>
      <c r="S20">
        <v>1785</v>
      </c>
    </row>
    <row r="21" spans="1:19" x14ac:dyDescent="0.2">
      <c r="A21" t="s">
        <v>45</v>
      </c>
      <c r="B21">
        <f t="shared" si="0"/>
        <v>0</v>
      </c>
      <c r="C21">
        <v>0</v>
      </c>
      <c r="D21">
        <v>0</v>
      </c>
      <c r="E21">
        <v>20</v>
      </c>
      <c r="F21">
        <v>1599.04</v>
      </c>
      <c r="G21" t="s">
        <v>15</v>
      </c>
      <c r="H21">
        <v>3</v>
      </c>
      <c r="I21">
        <v>0</v>
      </c>
      <c r="J21" t="s">
        <v>22</v>
      </c>
      <c r="K21">
        <v>3</v>
      </c>
      <c r="L21">
        <v>260</v>
      </c>
      <c r="M21">
        <v>25.9</v>
      </c>
      <c r="N21">
        <v>5</v>
      </c>
      <c r="O21">
        <v>3</v>
      </c>
      <c r="P21">
        <v>2</v>
      </c>
      <c r="Q21">
        <v>1.6</v>
      </c>
      <c r="R21">
        <v>1</v>
      </c>
      <c r="S21">
        <v>1815</v>
      </c>
    </row>
    <row r="22" spans="1:19" x14ac:dyDescent="0.2">
      <c r="A22" t="s">
        <v>46</v>
      </c>
      <c r="B22">
        <f t="shared" si="0"/>
        <v>0</v>
      </c>
      <c r="C22">
        <v>0</v>
      </c>
      <c r="D22">
        <v>0</v>
      </c>
      <c r="E22">
        <v>21</v>
      </c>
      <c r="F22">
        <v>1594.78</v>
      </c>
      <c r="G22" t="s">
        <v>19</v>
      </c>
      <c r="H22">
        <v>5</v>
      </c>
      <c r="I22">
        <v>0</v>
      </c>
      <c r="J22" t="s">
        <v>41</v>
      </c>
      <c r="K22">
        <v>1</v>
      </c>
      <c r="L22">
        <v>220</v>
      </c>
      <c r="M22">
        <v>25.7</v>
      </c>
      <c r="N22">
        <v>5</v>
      </c>
      <c r="O22">
        <v>3</v>
      </c>
      <c r="P22">
        <v>2</v>
      </c>
      <c r="Q22">
        <v>1.5</v>
      </c>
      <c r="R22">
        <v>0.9</v>
      </c>
      <c r="S22">
        <v>1805</v>
      </c>
    </row>
    <row r="23" spans="1:19" x14ac:dyDescent="0.2">
      <c r="A23" t="s">
        <v>47</v>
      </c>
      <c r="B23">
        <f t="shared" si="0"/>
        <v>0</v>
      </c>
      <c r="C23">
        <v>0</v>
      </c>
      <c r="D23">
        <v>0</v>
      </c>
      <c r="E23">
        <v>22</v>
      </c>
      <c r="F23">
        <v>1593.45</v>
      </c>
      <c r="G23" t="s">
        <v>15</v>
      </c>
      <c r="H23">
        <v>8</v>
      </c>
      <c r="I23">
        <v>0</v>
      </c>
      <c r="J23" t="s">
        <v>22</v>
      </c>
      <c r="K23">
        <v>3</v>
      </c>
      <c r="L23">
        <v>260</v>
      </c>
      <c r="M23">
        <v>27</v>
      </c>
      <c r="N23">
        <v>6</v>
      </c>
      <c r="O23">
        <v>2</v>
      </c>
      <c r="P23">
        <v>2</v>
      </c>
      <c r="Q23">
        <v>1.7</v>
      </c>
      <c r="R23">
        <v>1</v>
      </c>
      <c r="S23">
        <v>1810</v>
      </c>
    </row>
    <row r="24" spans="1:19" x14ac:dyDescent="0.2">
      <c r="A24" t="s">
        <v>48</v>
      </c>
      <c r="B24">
        <f t="shared" si="0"/>
        <v>0</v>
      </c>
      <c r="C24">
        <v>0</v>
      </c>
      <c r="D24">
        <v>0</v>
      </c>
      <c r="E24">
        <v>23</v>
      </c>
      <c r="F24">
        <v>1588.66</v>
      </c>
      <c r="G24" t="s">
        <v>40</v>
      </c>
      <c r="H24">
        <v>12</v>
      </c>
      <c r="I24">
        <v>0</v>
      </c>
      <c r="J24" t="s">
        <v>28</v>
      </c>
      <c r="K24">
        <v>3</v>
      </c>
      <c r="L24">
        <v>180</v>
      </c>
      <c r="M24">
        <v>27.4</v>
      </c>
      <c r="N24">
        <v>5</v>
      </c>
      <c r="O24">
        <v>3</v>
      </c>
      <c r="P24">
        <v>2</v>
      </c>
      <c r="Q24">
        <v>1.7</v>
      </c>
      <c r="R24">
        <v>1</v>
      </c>
      <c r="S24">
        <v>1795</v>
      </c>
    </row>
    <row r="25" spans="1:19" x14ac:dyDescent="0.2">
      <c r="A25" t="s">
        <v>49</v>
      </c>
      <c r="B25">
        <f t="shared" si="0"/>
        <v>0</v>
      </c>
      <c r="C25">
        <v>0</v>
      </c>
      <c r="D25">
        <v>0</v>
      </c>
      <c r="E25">
        <v>24</v>
      </c>
      <c r="F25">
        <v>1580.67</v>
      </c>
      <c r="G25" t="s">
        <v>40</v>
      </c>
      <c r="H25">
        <v>7</v>
      </c>
      <c r="I25">
        <v>0</v>
      </c>
      <c r="J25" t="s">
        <v>41</v>
      </c>
      <c r="K25">
        <v>1</v>
      </c>
      <c r="L25">
        <v>140</v>
      </c>
      <c r="M25">
        <v>27.6</v>
      </c>
      <c r="N25">
        <v>5</v>
      </c>
      <c r="O25">
        <v>2</v>
      </c>
      <c r="P25">
        <v>3</v>
      </c>
      <c r="Q25">
        <v>1.6</v>
      </c>
      <c r="R25">
        <v>1</v>
      </c>
      <c r="S25">
        <v>1775</v>
      </c>
    </row>
    <row r="26" spans="1:19" x14ac:dyDescent="0.2">
      <c r="A26" t="s">
        <v>50</v>
      </c>
      <c r="B26">
        <f t="shared" si="0"/>
        <v>0</v>
      </c>
      <c r="C26">
        <v>0</v>
      </c>
      <c r="D26">
        <v>0</v>
      </c>
      <c r="E26">
        <v>25</v>
      </c>
      <c r="F26">
        <v>1564.26</v>
      </c>
      <c r="G26" t="s">
        <v>27</v>
      </c>
      <c r="H26">
        <v>5</v>
      </c>
      <c r="I26">
        <v>0</v>
      </c>
      <c r="J26" t="s">
        <v>41</v>
      </c>
      <c r="K26">
        <v>1</v>
      </c>
      <c r="L26">
        <v>180</v>
      </c>
      <c r="M26">
        <v>27.8</v>
      </c>
      <c r="N26">
        <v>5</v>
      </c>
      <c r="O26">
        <v>3</v>
      </c>
      <c r="P26">
        <v>2</v>
      </c>
      <c r="Q26">
        <v>1.6</v>
      </c>
      <c r="R26">
        <v>0.9</v>
      </c>
      <c r="S26">
        <v>1760</v>
      </c>
    </row>
    <row r="27" spans="1:19" x14ac:dyDescent="0.2">
      <c r="A27" t="s">
        <v>51</v>
      </c>
      <c r="B27">
        <f t="shared" si="0"/>
        <v>0</v>
      </c>
      <c r="C27">
        <v>0</v>
      </c>
      <c r="D27">
        <v>0</v>
      </c>
      <c r="E27">
        <v>26</v>
      </c>
      <c r="F27">
        <v>1563.24</v>
      </c>
      <c r="G27" t="s">
        <v>27</v>
      </c>
      <c r="H27">
        <v>3</v>
      </c>
      <c r="I27">
        <v>0</v>
      </c>
      <c r="J27" t="s">
        <v>44</v>
      </c>
      <c r="K27">
        <v>0</v>
      </c>
      <c r="L27">
        <v>95</v>
      </c>
      <c r="M27">
        <v>28.1</v>
      </c>
      <c r="N27">
        <v>5</v>
      </c>
      <c r="O27">
        <v>3</v>
      </c>
      <c r="P27">
        <v>2</v>
      </c>
      <c r="Q27">
        <v>1.5</v>
      </c>
      <c r="R27">
        <v>0.8</v>
      </c>
      <c r="S27">
        <v>1750</v>
      </c>
    </row>
    <row r="28" spans="1:19" x14ac:dyDescent="0.2">
      <c r="A28" t="s">
        <v>52</v>
      </c>
      <c r="B28">
        <f t="shared" si="0"/>
        <v>0</v>
      </c>
      <c r="C28">
        <v>0</v>
      </c>
      <c r="D28">
        <v>0</v>
      </c>
      <c r="E28">
        <v>27</v>
      </c>
      <c r="F28">
        <v>1556.48</v>
      </c>
      <c r="G28" t="s">
        <v>36</v>
      </c>
      <c r="H28">
        <v>3</v>
      </c>
      <c r="I28">
        <v>0</v>
      </c>
      <c r="J28" t="s">
        <v>44</v>
      </c>
      <c r="K28">
        <v>0</v>
      </c>
      <c r="L28">
        <v>240</v>
      </c>
      <c r="M28">
        <v>25.8</v>
      </c>
      <c r="N28">
        <v>4</v>
      </c>
      <c r="O28">
        <v>3</v>
      </c>
      <c r="P28">
        <v>3</v>
      </c>
      <c r="Q28">
        <v>1.5</v>
      </c>
      <c r="R28">
        <v>1.2</v>
      </c>
      <c r="S28">
        <v>1780</v>
      </c>
    </row>
    <row r="29" spans="1:19" x14ac:dyDescent="0.2">
      <c r="A29" t="s">
        <v>53</v>
      </c>
      <c r="B29">
        <f t="shared" si="0"/>
        <v>0</v>
      </c>
      <c r="C29">
        <v>0</v>
      </c>
      <c r="D29">
        <v>0</v>
      </c>
      <c r="E29">
        <v>28</v>
      </c>
      <c r="F29">
        <v>1550.94</v>
      </c>
      <c r="G29" t="s">
        <v>15</v>
      </c>
      <c r="H29">
        <v>3</v>
      </c>
      <c r="I29">
        <v>0</v>
      </c>
      <c r="J29" t="s">
        <v>41</v>
      </c>
      <c r="K29">
        <v>1</v>
      </c>
      <c r="L29">
        <v>420</v>
      </c>
      <c r="M29">
        <v>25.3</v>
      </c>
      <c r="N29">
        <v>6</v>
      </c>
      <c r="O29">
        <v>2</v>
      </c>
      <c r="P29">
        <v>2</v>
      </c>
      <c r="Q29">
        <v>2.1</v>
      </c>
      <c r="R29">
        <v>1.1000000000000001</v>
      </c>
      <c r="S29">
        <v>1820</v>
      </c>
    </row>
    <row r="30" spans="1:19" x14ac:dyDescent="0.2">
      <c r="A30" t="s">
        <v>54</v>
      </c>
      <c r="B30">
        <f t="shared" si="0"/>
        <v>0</v>
      </c>
      <c r="C30">
        <v>0</v>
      </c>
      <c r="D30">
        <v>0</v>
      </c>
      <c r="E30">
        <v>29</v>
      </c>
      <c r="F30">
        <v>1540.64</v>
      </c>
      <c r="G30" t="s">
        <v>36</v>
      </c>
      <c r="H30">
        <v>1</v>
      </c>
      <c r="I30">
        <v>0</v>
      </c>
      <c r="J30" t="s">
        <v>44</v>
      </c>
      <c r="K30">
        <v>0</v>
      </c>
      <c r="L30">
        <v>40</v>
      </c>
      <c r="M30">
        <v>28.2</v>
      </c>
      <c r="N30">
        <v>4</v>
      </c>
      <c r="O30">
        <v>3</v>
      </c>
      <c r="P30">
        <v>3</v>
      </c>
      <c r="Q30">
        <v>1.3</v>
      </c>
      <c r="R30">
        <v>1.1000000000000001</v>
      </c>
      <c r="S30">
        <v>1680</v>
      </c>
    </row>
    <row r="31" spans="1:19" x14ac:dyDescent="0.2">
      <c r="A31" t="s">
        <v>55</v>
      </c>
      <c r="B31">
        <f t="shared" si="0"/>
        <v>0</v>
      </c>
      <c r="C31">
        <v>0</v>
      </c>
      <c r="D31">
        <v>0</v>
      </c>
      <c r="E31">
        <v>30</v>
      </c>
      <c r="F31">
        <v>1532.98</v>
      </c>
      <c r="G31" t="s">
        <v>27</v>
      </c>
      <c r="H31">
        <v>4</v>
      </c>
      <c r="I31">
        <v>0</v>
      </c>
      <c r="J31" t="s">
        <v>44</v>
      </c>
      <c r="K31">
        <v>0</v>
      </c>
      <c r="L31">
        <v>210</v>
      </c>
      <c r="M31">
        <v>26.9</v>
      </c>
      <c r="N31">
        <v>5</v>
      </c>
      <c r="O31">
        <v>2</v>
      </c>
      <c r="P31">
        <v>3</v>
      </c>
      <c r="Q31">
        <v>1.6</v>
      </c>
      <c r="R31">
        <v>1</v>
      </c>
      <c r="S31">
        <v>1770</v>
      </c>
    </row>
    <row r="32" spans="1:19" x14ac:dyDescent="0.2">
      <c r="A32" t="s">
        <v>56</v>
      </c>
      <c r="B32">
        <f t="shared" si="0"/>
        <v>0</v>
      </c>
      <c r="C32">
        <v>1</v>
      </c>
      <c r="D32">
        <v>1</v>
      </c>
      <c r="E32">
        <v>31</v>
      </c>
      <c r="F32">
        <v>1514.77</v>
      </c>
      <c r="G32" t="s">
        <v>15</v>
      </c>
      <c r="H32">
        <v>12</v>
      </c>
      <c r="I32">
        <v>0</v>
      </c>
      <c r="J32" t="s">
        <v>25</v>
      </c>
      <c r="K32">
        <v>4</v>
      </c>
      <c r="L32">
        <v>230</v>
      </c>
      <c r="M32">
        <v>26.8</v>
      </c>
      <c r="N32">
        <v>5</v>
      </c>
      <c r="O32">
        <v>3</v>
      </c>
      <c r="P32">
        <v>2</v>
      </c>
      <c r="Q32">
        <v>1.5</v>
      </c>
      <c r="R32">
        <v>1</v>
      </c>
      <c r="S32">
        <v>1785</v>
      </c>
    </row>
    <row r="33" spans="1:19" x14ac:dyDescent="0.2">
      <c r="A33" t="s">
        <v>57</v>
      </c>
      <c r="B33">
        <f t="shared" si="0"/>
        <v>0</v>
      </c>
      <c r="C33">
        <v>0</v>
      </c>
      <c r="D33">
        <v>0</v>
      </c>
      <c r="E33">
        <v>32</v>
      </c>
      <c r="F33">
        <v>1503.5</v>
      </c>
      <c r="G33" t="s">
        <v>19</v>
      </c>
      <c r="H33">
        <v>8</v>
      </c>
      <c r="I33">
        <v>0</v>
      </c>
      <c r="J33" t="s">
        <v>33</v>
      </c>
      <c r="K33">
        <v>2</v>
      </c>
      <c r="L33">
        <v>120</v>
      </c>
      <c r="M33">
        <v>27.7</v>
      </c>
      <c r="N33">
        <v>4</v>
      </c>
      <c r="O33">
        <v>4</v>
      </c>
      <c r="P33">
        <v>2</v>
      </c>
      <c r="Q33">
        <v>1.2</v>
      </c>
      <c r="R33">
        <v>0.9</v>
      </c>
      <c r="S33">
        <v>1745</v>
      </c>
    </row>
    <row r="34" spans="1:19" x14ac:dyDescent="0.2">
      <c r="A34" t="s">
        <v>58</v>
      </c>
      <c r="B34">
        <f t="shared" si="0"/>
        <v>0</v>
      </c>
      <c r="C34">
        <v>1</v>
      </c>
      <c r="D34">
        <v>1</v>
      </c>
      <c r="E34">
        <v>33</v>
      </c>
      <c r="F34">
        <v>1501.38</v>
      </c>
      <c r="G34" t="s">
        <v>15</v>
      </c>
      <c r="H34">
        <v>9</v>
      </c>
      <c r="I34">
        <v>0</v>
      </c>
      <c r="J34" t="s">
        <v>25</v>
      </c>
      <c r="K34">
        <v>4</v>
      </c>
      <c r="L34">
        <v>170</v>
      </c>
      <c r="M34">
        <v>27.2</v>
      </c>
      <c r="N34">
        <v>5</v>
      </c>
      <c r="O34">
        <v>2</v>
      </c>
      <c r="P34">
        <v>3</v>
      </c>
      <c r="Q34">
        <v>1.5</v>
      </c>
      <c r="R34">
        <v>1.1000000000000001</v>
      </c>
      <c r="S34">
        <v>1765</v>
      </c>
    </row>
    <row r="35" spans="1:19" x14ac:dyDescent="0.2">
      <c r="A35" t="s">
        <v>59</v>
      </c>
      <c r="B35">
        <f t="shared" si="0"/>
        <v>0</v>
      </c>
      <c r="C35">
        <v>0</v>
      </c>
      <c r="D35">
        <v>0</v>
      </c>
      <c r="E35">
        <v>34</v>
      </c>
      <c r="F35">
        <v>1498.35</v>
      </c>
      <c r="G35" t="s">
        <v>15</v>
      </c>
      <c r="H35">
        <v>8</v>
      </c>
      <c r="I35">
        <v>0</v>
      </c>
      <c r="J35" t="s">
        <v>44</v>
      </c>
      <c r="K35">
        <v>0</v>
      </c>
      <c r="L35">
        <v>260</v>
      </c>
      <c r="M35">
        <v>27.1</v>
      </c>
      <c r="N35">
        <v>5</v>
      </c>
      <c r="O35">
        <v>2</v>
      </c>
      <c r="P35">
        <v>3</v>
      </c>
      <c r="Q35">
        <v>1.5</v>
      </c>
      <c r="R35">
        <v>1.1000000000000001</v>
      </c>
      <c r="S35">
        <v>1800</v>
      </c>
    </row>
    <row r="36" spans="1:19" x14ac:dyDescent="0.2">
      <c r="A36" t="s">
        <v>60</v>
      </c>
      <c r="B36">
        <f t="shared" si="0"/>
        <v>0</v>
      </c>
      <c r="C36">
        <v>0</v>
      </c>
      <c r="D36">
        <v>0</v>
      </c>
      <c r="E36">
        <v>35</v>
      </c>
      <c r="F36">
        <v>1483.05</v>
      </c>
      <c r="G36" t="s">
        <v>27</v>
      </c>
      <c r="H36">
        <v>7</v>
      </c>
      <c r="I36">
        <v>0</v>
      </c>
      <c r="J36" t="s">
        <v>44</v>
      </c>
      <c r="K36">
        <v>0</v>
      </c>
      <c r="L36">
        <v>55</v>
      </c>
      <c r="M36">
        <v>28</v>
      </c>
      <c r="N36">
        <v>4</v>
      </c>
      <c r="O36">
        <v>4</v>
      </c>
      <c r="P36">
        <v>2</v>
      </c>
      <c r="Q36">
        <v>1.1000000000000001</v>
      </c>
      <c r="R36">
        <v>0.8</v>
      </c>
      <c r="S36">
        <v>1695</v>
      </c>
    </row>
    <row r="37" spans="1:19" x14ac:dyDescent="0.2">
      <c r="A37" t="s">
        <v>61</v>
      </c>
      <c r="B37">
        <f t="shared" si="0"/>
        <v>0</v>
      </c>
      <c r="C37">
        <v>0</v>
      </c>
      <c r="D37">
        <v>0</v>
      </c>
      <c r="E37">
        <v>36</v>
      </c>
      <c r="F37">
        <v>1478</v>
      </c>
      <c r="G37" t="s">
        <v>27</v>
      </c>
      <c r="H37">
        <v>1</v>
      </c>
      <c r="I37">
        <v>0</v>
      </c>
      <c r="J37" t="s">
        <v>33</v>
      </c>
      <c r="K37">
        <v>2</v>
      </c>
      <c r="L37">
        <v>70</v>
      </c>
      <c r="M37">
        <v>27.4</v>
      </c>
      <c r="N37">
        <v>4</v>
      </c>
      <c r="O37">
        <v>3</v>
      </c>
      <c r="P37">
        <v>3</v>
      </c>
      <c r="Q37">
        <v>1.3</v>
      </c>
      <c r="R37">
        <v>1</v>
      </c>
      <c r="S37">
        <v>1685</v>
      </c>
    </row>
    <row r="38" spans="1:19" x14ac:dyDescent="0.2">
      <c r="A38" t="s">
        <v>62</v>
      </c>
      <c r="B38">
        <f t="shared" si="0"/>
        <v>0</v>
      </c>
      <c r="C38">
        <v>0</v>
      </c>
      <c r="D38">
        <v>0</v>
      </c>
      <c r="E38">
        <v>37</v>
      </c>
      <c r="F38">
        <v>1450</v>
      </c>
      <c r="G38" t="s">
        <v>40</v>
      </c>
      <c r="H38">
        <v>0</v>
      </c>
      <c r="I38">
        <v>0</v>
      </c>
      <c r="J38" t="s">
        <v>63</v>
      </c>
      <c r="K38">
        <v>0</v>
      </c>
      <c r="L38">
        <v>45</v>
      </c>
      <c r="M38">
        <v>26.1</v>
      </c>
      <c r="N38">
        <v>5</v>
      </c>
      <c r="O38">
        <v>3</v>
      </c>
      <c r="P38">
        <v>2</v>
      </c>
      <c r="Q38">
        <v>1.4</v>
      </c>
      <c r="R38">
        <v>0.9</v>
      </c>
      <c r="S38">
        <v>1660</v>
      </c>
    </row>
    <row r="39" spans="1:19" x14ac:dyDescent="0.2">
      <c r="A39" t="s">
        <v>64</v>
      </c>
      <c r="B39">
        <f t="shared" si="0"/>
        <v>0</v>
      </c>
      <c r="C39">
        <v>0</v>
      </c>
      <c r="D39">
        <v>0</v>
      </c>
      <c r="E39">
        <v>38</v>
      </c>
      <c r="F39">
        <v>1430</v>
      </c>
      <c r="G39" t="s">
        <v>40</v>
      </c>
      <c r="H39">
        <v>1</v>
      </c>
      <c r="I39">
        <v>0</v>
      </c>
      <c r="J39" t="s">
        <v>44</v>
      </c>
      <c r="K39">
        <v>0</v>
      </c>
      <c r="L39">
        <v>35</v>
      </c>
      <c r="M39">
        <v>28.5</v>
      </c>
      <c r="N39">
        <v>4</v>
      </c>
      <c r="O39">
        <v>2</v>
      </c>
      <c r="P39">
        <v>4</v>
      </c>
      <c r="Q39">
        <v>1.3</v>
      </c>
      <c r="R39">
        <v>1.2</v>
      </c>
      <c r="S39">
        <v>1640</v>
      </c>
    </row>
    <row r="40" spans="1:19" x14ac:dyDescent="0.2">
      <c r="A40" t="s">
        <v>65</v>
      </c>
      <c r="B40">
        <f t="shared" si="0"/>
        <v>0</v>
      </c>
      <c r="C40">
        <v>0</v>
      </c>
      <c r="D40">
        <v>0</v>
      </c>
      <c r="E40">
        <v>39</v>
      </c>
      <c r="F40">
        <v>1420</v>
      </c>
      <c r="G40" t="s">
        <v>40</v>
      </c>
      <c r="H40">
        <v>1</v>
      </c>
      <c r="I40">
        <v>0</v>
      </c>
      <c r="J40" t="s">
        <v>44</v>
      </c>
      <c r="K40">
        <v>0</v>
      </c>
      <c r="L40">
        <v>28</v>
      </c>
      <c r="M40">
        <v>27.6</v>
      </c>
      <c r="N40">
        <v>4</v>
      </c>
      <c r="O40">
        <v>3</v>
      </c>
      <c r="P40">
        <v>3</v>
      </c>
      <c r="Q40">
        <v>1.2</v>
      </c>
      <c r="R40">
        <v>1</v>
      </c>
      <c r="S40">
        <v>1630</v>
      </c>
    </row>
    <row r="41" spans="1:19" x14ac:dyDescent="0.2">
      <c r="A41" t="s">
        <v>66</v>
      </c>
      <c r="B41">
        <f t="shared" si="0"/>
        <v>0</v>
      </c>
      <c r="C41">
        <v>0</v>
      </c>
      <c r="D41">
        <v>0</v>
      </c>
      <c r="E41">
        <v>40</v>
      </c>
      <c r="F41">
        <v>1410</v>
      </c>
      <c r="G41" t="s">
        <v>27</v>
      </c>
      <c r="H41">
        <v>3</v>
      </c>
      <c r="I41">
        <v>0</v>
      </c>
      <c r="J41" t="s">
        <v>44</v>
      </c>
      <c r="K41">
        <v>0</v>
      </c>
      <c r="L41">
        <v>30</v>
      </c>
      <c r="M41">
        <v>27.3</v>
      </c>
      <c r="N41">
        <v>4</v>
      </c>
      <c r="O41">
        <v>4</v>
      </c>
      <c r="P41">
        <v>2</v>
      </c>
      <c r="Q41">
        <v>1.2</v>
      </c>
      <c r="R41">
        <v>0.9</v>
      </c>
      <c r="S41">
        <v>1625</v>
      </c>
    </row>
    <row r="42" spans="1:19" x14ac:dyDescent="0.2">
      <c r="A42" t="s">
        <v>67</v>
      </c>
      <c r="B42">
        <f t="shared" si="0"/>
        <v>0</v>
      </c>
      <c r="C42">
        <v>0</v>
      </c>
      <c r="D42">
        <v>0</v>
      </c>
      <c r="E42">
        <v>41</v>
      </c>
      <c r="F42">
        <v>1400</v>
      </c>
      <c r="G42" t="s">
        <v>40</v>
      </c>
      <c r="H42">
        <v>7</v>
      </c>
      <c r="I42">
        <v>0</v>
      </c>
      <c r="J42" t="s">
        <v>41</v>
      </c>
      <c r="K42">
        <v>1</v>
      </c>
      <c r="L42">
        <v>85</v>
      </c>
      <c r="M42">
        <v>27.7</v>
      </c>
      <c r="N42">
        <v>4</v>
      </c>
      <c r="O42">
        <v>3</v>
      </c>
      <c r="P42">
        <v>3</v>
      </c>
      <c r="Q42">
        <v>1.3</v>
      </c>
      <c r="R42">
        <v>1.1000000000000001</v>
      </c>
      <c r="S42">
        <v>1675</v>
      </c>
    </row>
    <row r="43" spans="1:19" x14ac:dyDescent="0.2">
      <c r="A43" t="s">
        <v>68</v>
      </c>
      <c r="B43">
        <f t="shared" si="0"/>
        <v>0</v>
      </c>
      <c r="C43">
        <v>0</v>
      </c>
      <c r="D43">
        <v>0</v>
      </c>
      <c r="E43">
        <v>42</v>
      </c>
      <c r="F43">
        <v>1390</v>
      </c>
      <c r="G43" t="s">
        <v>40</v>
      </c>
      <c r="H43">
        <v>0</v>
      </c>
      <c r="I43">
        <v>0</v>
      </c>
      <c r="J43" t="s">
        <v>63</v>
      </c>
      <c r="K43">
        <v>0</v>
      </c>
      <c r="L43">
        <v>18</v>
      </c>
      <c r="M43">
        <v>27.2</v>
      </c>
      <c r="N43">
        <v>5</v>
      </c>
      <c r="O43">
        <v>2</v>
      </c>
      <c r="P43">
        <v>3</v>
      </c>
      <c r="Q43">
        <v>1.4</v>
      </c>
      <c r="R43">
        <v>1</v>
      </c>
      <c r="S43">
        <v>1605</v>
      </c>
    </row>
    <row r="44" spans="1:19" x14ac:dyDescent="0.2">
      <c r="A44" t="s">
        <v>69</v>
      </c>
      <c r="B44">
        <f t="shared" si="0"/>
        <v>0</v>
      </c>
      <c r="C44">
        <v>0</v>
      </c>
      <c r="D44">
        <v>0</v>
      </c>
      <c r="E44">
        <v>43</v>
      </c>
      <c r="F44">
        <v>1370</v>
      </c>
      <c r="G44" t="s">
        <v>15</v>
      </c>
      <c r="H44">
        <v>1</v>
      </c>
      <c r="I44">
        <v>0</v>
      </c>
      <c r="J44" t="s">
        <v>44</v>
      </c>
      <c r="K44">
        <v>0</v>
      </c>
      <c r="L44">
        <v>95</v>
      </c>
      <c r="M44">
        <v>28.4</v>
      </c>
      <c r="N44">
        <v>4</v>
      </c>
      <c r="O44">
        <v>2</v>
      </c>
      <c r="P44">
        <v>4</v>
      </c>
      <c r="Q44">
        <v>1.3</v>
      </c>
      <c r="R44">
        <v>1.3</v>
      </c>
      <c r="S44">
        <v>1670</v>
      </c>
    </row>
    <row r="45" spans="1:19" x14ac:dyDescent="0.2">
      <c r="A45" t="s">
        <v>70</v>
      </c>
      <c r="B45">
        <f t="shared" si="0"/>
        <v>0</v>
      </c>
      <c r="C45">
        <v>0</v>
      </c>
      <c r="D45">
        <v>0</v>
      </c>
      <c r="E45">
        <v>44</v>
      </c>
      <c r="F45">
        <v>1360</v>
      </c>
      <c r="G45" t="s">
        <v>27</v>
      </c>
      <c r="H45">
        <v>4</v>
      </c>
      <c r="I45">
        <v>0</v>
      </c>
      <c r="J45" t="s">
        <v>33</v>
      </c>
      <c r="K45">
        <v>2</v>
      </c>
      <c r="L45">
        <v>140</v>
      </c>
      <c r="M45">
        <v>26.5</v>
      </c>
      <c r="N45">
        <v>5</v>
      </c>
      <c r="O45">
        <v>2</v>
      </c>
      <c r="P45">
        <v>3</v>
      </c>
      <c r="Q45">
        <v>1.5</v>
      </c>
      <c r="R45">
        <v>1.1000000000000001</v>
      </c>
      <c r="S45">
        <v>1715</v>
      </c>
    </row>
    <row r="46" spans="1:19" x14ac:dyDescent="0.2">
      <c r="A46" t="s">
        <v>71</v>
      </c>
      <c r="B46">
        <f t="shared" si="0"/>
        <v>0</v>
      </c>
      <c r="C46">
        <v>0</v>
      </c>
      <c r="D46">
        <v>0</v>
      </c>
      <c r="E46">
        <v>45</v>
      </c>
      <c r="F46">
        <v>1340</v>
      </c>
      <c r="G46" t="s">
        <v>27</v>
      </c>
      <c r="H46">
        <v>0</v>
      </c>
      <c r="I46">
        <v>0</v>
      </c>
      <c r="J46" t="s">
        <v>63</v>
      </c>
      <c r="K46">
        <v>0</v>
      </c>
      <c r="L46">
        <v>32</v>
      </c>
      <c r="M46">
        <v>28</v>
      </c>
      <c r="N46">
        <v>5</v>
      </c>
      <c r="O46">
        <v>3</v>
      </c>
      <c r="P46">
        <v>2</v>
      </c>
      <c r="Q46">
        <v>1.2</v>
      </c>
      <c r="R46">
        <v>0.8</v>
      </c>
      <c r="S46">
        <v>1650</v>
      </c>
    </row>
    <row r="47" spans="1:19" x14ac:dyDescent="0.2">
      <c r="A47" t="s">
        <v>72</v>
      </c>
      <c r="B47">
        <f t="shared" si="0"/>
        <v>0</v>
      </c>
      <c r="C47">
        <v>0</v>
      </c>
      <c r="D47">
        <v>0</v>
      </c>
      <c r="E47">
        <v>46</v>
      </c>
      <c r="F47">
        <v>1290</v>
      </c>
      <c r="G47" t="s">
        <v>36</v>
      </c>
      <c r="H47">
        <v>0</v>
      </c>
      <c r="I47">
        <v>0</v>
      </c>
      <c r="J47" t="s">
        <v>63</v>
      </c>
      <c r="K47">
        <v>0</v>
      </c>
      <c r="L47">
        <v>18</v>
      </c>
      <c r="M47">
        <v>27.1</v>
      </c>
      <c r="N47">
        <v>4</v>
      </c>
      <c r="O47">
        <v>2</v>
      </c>
      <c r="P47">
        <v>4</v>
      </c>
      <c r="Q47">
        <v>1.2</v>
      </c>
      <c r="R47">
        <v>1.2</v>
      </c>
      <c r="S47">
        <v>1585</v>
      </c>
    </row>
    <row r="48" spans="1:19" x14ac:dyDescent="0.2">
      <c r="A48" t="s">
        <v>73</v>
      </c>
      <c r="B48">
        <f t="shared" si="0"/>
        <v>0</v>
      </c>
      <c r="C48">
        <v>0</v>
      </c>
      <c r="D48">
        <v>0</v>
      </c>
      <c r="E48">
        <v>47</v>
      </c>
      <c r="F48">
        <v>1280</v>
      </c>
      <c r="G48" t="s">
        <v>36</v>
      </c>
      <c r="H48">
        <v>1</v>
      </c>
      <c r="I48">
        <v>0</v>
      </c>
      <c r="J48" t="s">
        <v>44</v>
      </c>
      <c r="K48">
        <v>0</v>
      </c>
      <c r="L48">
        <v>14</v>
      </c>
      <c r="M48">
        <v>26.9</v>
      </c>
      <c r="N48">
        <v>4</v>
      </c>
      <c r="O48">
        <v>2</v>
      </c>
      <c r="P48">
        <v>4</v>
      </c>
      <c r="Q48">
        <v>1.3</v>
      </c>
      <c r="R48">
        <v>1.3</v>
      </c>
      <c r="S48">
        <v>1560</v>
      </c>
    </row>
    <row r="49" spans="1:19" x14ac:dyDescent="0.2">
      <c r="A49" t="s">
        <v>74</v>
      </c>
      <c r="B49">
        <f t="shared" si="0"/>
        <v>0</v>
      </c>
      <c r="C49">
        <v>0</v>
      </c>
      <c r="D49">
        <v>0</v>
      </c>
      <c r="E49">
        <v>48</v>
      </c>
      <c r="F49">
        <v>1270</v>
      </c>
      <c r="G49" t="s">
        <v>75</v>
      </c>
      <c r="H49">
        <v>3</v>
      </c>
      <c r="I49">
        <v>0</v>
      </c>
      <c r="J49" t="s">
        <v>44</v>
      </c>
      <c r="K49">
        <v>0</v>
      </c>
      <c r="L49">
        <v>22</v>
      </c>
      <c r="M49">
        <v>27</v>
      </c>
      <c r="N49">
        <v>6</v>
      </c>
      <c r="O49">
        <v>2</v>
      </c>
      <c r="P49">
        <v>2</v>
      </c>
      <c r="Q49">
        <v>1.8</v>
      </c>
      <c r="R49">
        <v>0.9</v>
      </c>
      <c r="S49">
        <v>1595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Mundial2026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Felipe Romero Rodriguez</cp:lastModifiedBy>
  <dcterms:created xsi:type="dcterms:W3CDTF">2026-06-02T20:07:57Z</dcterms:created>
  <dcterms:modified xsi:type="dcterms:W3CDTF">2026-06-03T02:56:11Z</dcterms:modified>
</cp:coreProperties>
</file>